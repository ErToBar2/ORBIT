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DitWerkboek"/>
  <mc:AlternateContent xmlns:mc="http://schemas.openxmlformats.org/markup-compatibility/2006">
    <mc:Choice Requires="x15">
      <x15ac:absPath xmlns:x15ac="http://schemas.microsoft.com/office/spreadsheetml/2010/11/ac" url="C:\Code\02 FlightPlanning\01_BridgeData2\"/>
    </mc:Choice>
  </mc:AlternateContent>
  <xr:revisionPtr revIDLastSave="0" documentId="13_ncr:1_{2A2ABC7A-2F94-44E3-9294-C497497AB1F9}" xr6:coauthVersionLast="47" xr6:coauthVersionMax="47" xr10:uidLastSave="{00000000-0000-0000-0000-000000000000}"/>
  <bookViews>
    <workbookView xWindow="3075" yWindow="3075" windowWidth="25515" windowHeight="12915" tabRatio="898" activeTab="1" xr2:uid="{00000000-000D-0000-FFFF-FFFF00000000}"/>
  </bookViews>
  <sheets>
    <sheet name="00_Input" sheetId="3" r:id="rId1"/>
    <sheet name="01_SortedGCPs" sheetId="4" r:id="rId2"/>
  </sheets>
  <definedNames>
    <definedName name="Bn_datum">HLOOKUP(Bn_nr,INPUT_B_gegevens,2,FALSE)</definedName>
    <definedName name="Bn_nr" comment="korte naam voor veelgebruikte referentie">1*RIGHT(CELL("bestandsnaam"),1)</definedName>
    <definedName name="Bn_uitvoerder" comment="korte naam voor veelgebruikte referentie">IF(HLOOKUP(Bn_nr,INPUT_B_gegevens,8,FALSE)=0, "uitvoerder basiswaterpassing opgeven in 'INPUT_B'", HLOOKUP(Bn_nr,INPUT_B_gegevens,8,FALSE))</definedName>
    <definedName name="cel_Km1" comment="korte naam voor een relatieve celverwijzing">INDIRECT("RK[-1]",FALSE)</definedName>
    <definedName name="cel_Km3" comment="korte naam voor een relatieve celverwijzing">INDIRECT("RK[-3]",FALSE)</definedName>
    <definedName name="cel_Km6" comment="korte naam voor een relatieve celverwijzing">INDIRECT("RK[-6]",FALSE)</definedName>
    <definedName name="cel_Km7" comment="korte naam voor een relatieve celverwijzing">INDIRECT("RK[-7]",FALSE)</definedName>
    <definedName name="cel_Kp1" comment="korte naam voor een relatieve celverwijzing">INDIRECT("RK[+1]",FALSE)</definedName>
    <definedName name="cel_Kp2" comment="korte naam voor een relatieve celverwijzing">INDIRECT("RK[+2]",FALSE)</definedName>
    <definedName name="cel_Kp3" comment="korte naam voor een relatieve celverwijzing">INDIRECT("RK[+3]",FALSE)</definedName>
    <definedName name="cel_Kp4" comment="korte naam voor een relatieve celverwijzing">INDIRECT("RK[+4]",FALSE)</definedName>
    <definedName name="cel_Kp5" comment="korte naam voor een relatieve celverwijzing">INDIRECT("RK[+5]",FALSE)</definedName>
    <definedName name="cel_Kp6" comment="korte naam voor een relatieve celverwijzing">INDIRECT("RK[+6]",FALSE)</definedName>
    <definedName name="cel_Kpm" comment="korte naam voor een relatieve celverwijzing">INDIRECT("RK",FALSE)</definedName>
    <definedName name="Cnn_datum" comment="datumopvraging a.d.h.v. rekenbladnaam &amp; datarijen INPUT_C">HLOOKUP(Cnn_nr,INPUT_C_gegevens,3,FALSE)</definedName>
    <definedName name="Cnn_nr" comment="korte naam voor veelgebruikte referentie">1*RIGHT(CELL("bestandsnaam"),2)</definedName>
    <definedName name="Cnn_periodiciteit" comment="formule om periodiciteit te halen uit INPUT_C">IF(HLOOKUP(Cnn_nr,#REF!,4,FALSE)&lt;&gt;"periodiciteit?", HLOOKUP(1*RIGHT(CELL("bestandsnaam"),2),#REF!,4,FALSE), "periodiciteit opgeven in 'INPUT_C'")</definedName>
    <definedName name="Cnn_uitvoerder" comment="formule om de uitvoerder te halen uit INPUT_C">IF(HLOOKUP(1*RIGHT(CELL("bestandsnaam"),2),#REF!,10,FALSE)&lt;&gt;"0", HLOOKUP(1*RIGHT(CELL("bestandsnaam"),2),#REF!,10,FALSE), "uitvoerder opgeven in 'INPUT_C'")</definedName>
    <definedName name="datum_recentste_CWP">#REF!</definedName>
    <definedName name="DOCULINK_RUIT">#REF!</definedName>
    <definedName name="DOCULINK_waterpassingsdossier" comment="locatieaanduiding: helemaal bovenaan DOCU">#REF!</definedName>
    <definedName name="ID_beheerder_bovenbouw">#REF!</definedName>
    <definedName name="ID_beheerder_onderbouw">#REF!</definedName>
    <definedName name="ID_gemeente">#REF!</definedName>
    <definedName name="ID_ID_Bryggja">#REF!</definedName>
    <definedName name="ID_ID_Waterwegen">#REF!</definedName>
    <definedName name="ID_kruisende_wegen">#REF!</definedName>
    <definedName name="ID_naam">#REF!</definedName>
    <definedName name="ID_vlgnr_Bryggja">#REF!</definedName>
    <definedName name="INPUT_B_gegevens">#REF!</definedName>
    <definedName name="INPUT_C_gegevens">#REF!</definedName>
    <definedName name="inputbereik_B1">#REF!</definedName>
    <definedName name="inputbereik_B2">#REF!</definedName>
    <definedName name="inputbereik_B3">#REF!</definedName>
    <definedName name="inputbereik_B4">#REF!</definedName>
    <definedName name="inputbereik_B5">#REF!</definedName>
    <definedName name="inputbereik_B6">#REF!</definedName>
    <definedName name="inputbereik_B7">#REF!</definedName>
    <definedName name="inputbereik_B8">#REF!</definedName>
    <definedName name="inputbereik_B9">#REF!</definedName>
    <definedName name="instelling_cel_absRIJn_grafieken">#REF!</definedName>
    <definedName name="instelling_cel_BewarenAls">#REF!</definedName>
    <definedName name="instelling_cel_dRIJn_grafieken">#REF!</definedName>
    <definedName name="instelling_cel_ppi">#REF!</definedName>
    <definedName name="instelling_cel_schermdiagonaal">#REF!</definedName>
    <definedName name="nr.controle_INPUT_B1" comment="formule die correcte nummeropgave nagaat bij de invoer van een basiswaterpassing">IF(ISERR(cel_Km7),"nr.-fout", IF(ISNA(cel_Km7),"",IF(COUNTIF(INDIRECT("INPUT_B1[nr.nr.]",TRUE),cel_Km7)&lt;2,"uniek","dubbel!")))</definedName>
    <definedName name="nr.controle_INPUT_B2" comment="formule die correcte nummeropgave nagaat bij de invoer van een basiswaterpassing">IF(ISERR(cel_Km7),"nr.-fout", IF(ISNA(cel_Km7),"",IF(COUNTIF(INDIRECT("INPUT_B2[nr.nr.]",TRUE),cel_Km7)&lt;2,"uniek","dubbel!")))</definedName>
    <definedName name="nr.controle_INPUT_B3" comment="formule die correcte nummeropgave nagaat bij de invoer van een basiswaterpassing">IF(ISERR(cel_Km7),"nr.-fout", IF(ISNA(cel_Km7),"",IF(COUNTIF(INDIRECT("INPUT_B3[nr.nr.]",TRUE),cel_Km7)&lt;2,"uniek","dubbel!")))</definedName>
    <definedName name="nr.controle_INPUT_B4" comment="formule die correcte nummeropgave nagaat bij de invoer van een basiswaterpassing">IF(ISERR(cel_Km7),"nr.-fout", IF(ISNA(cel_Km7),"",IF(COUNTIF(INDIRECT("INPUT_B4[nr.nr.]",TRUE),cel_Km7)&lt;2,"uniek","dubbel!")))</definedName>
    <definedName name="nr.controle_INPUT_B5" comment="formule die correcte nummeropgave nagaat bij de invoer van een basiswaterpassing">IF(ISERR(cel_Km7),"nr.-fout", IF(ISNA(cel_Km7),"",IF(COUNTIF(INDIRECT("INPUT_B5[nr.nr.]",TRUE),cel_Km7)&lt;2,"uniek","dubbel!")))</definedName>
    <definedName name="nr.controle_INPUT_B6" comment="formule die correcte nummeropgave nagaat bij de invoer van een basiswaterpassing">IF(ISERR(cel_Km7),"nr.-fout", IF(ISNA(cel_Km7),"",IF(COUNTIF(INDIRECT("INPUT_B6[nr.nr.]",TRUE),cel_Km7)&lt;2,"uniek","dubbel!")))</definedName>
    <definedName name="nr.controle_INPUT_B7" comment="formule die correcte nummeropgave nagaat bij de invoer van een basiswaterpassing">IF(ISERR(cel_Km7),"nr.-fout", IF(ISNA(cel_Km7),"",IF(COUNTIF(INDIRECT("INPUT_B7[nr.nr.]",TRUE),cel_Km7)&lt;2,"uniek","dubbel!")))</definedName>
    <definedName name="nr.controle_INPUT_B8" comment="formule die correcte nummeropgave nagaat bij de invoer van een basiswaterpassing">IF(ISERR(cel_Km7),"nr.-fout", IF(ISNA(cel_Km7),"",IF(COUNTIF(INDIRECT("INPUT_B8[nr.nr.]",TRUE),cel_Km7)&lt;2,"uniek","dubbel!")))</definedName>
    <definedName name="nr.controle_INPUT_B9" comment="formule die correcte nummeropgave nagaat bij de invoer van een basiswaterpassing">IF(ISERR(cel_Km7),"nr.-fout", IF(ISNA(cel_Km7),"",IF(COUNTIF(INDIRECT("INPUT_B9[nr.nr.]",TRUE),cel_Km7)&lt;2,"uniek","dubbel!")))</definedName>
    <definedName name="nr.controle_INPUT_C" comment="formule die correcte nummeropgave nagaat bij de invoer van een basiswaterpassing">IF(ISERR(cel_Km3),"nr.-fout",IF(ISNA(cel_Km3),"",IF(COUNTIF(OFFSET(INDIRECT("E:E"),,-3+(COLUMN()-5)),cel_Km3)&lt;2,"uniek","dubbel!")))</definedName>
    <definedName name="nr.controle_TABEL" comment="formule die correcte nummeropgave nagaat bij de invoer van de meetpunten in TABEL">IF(ISERR(cel_Km1),"nr.-fout", IF(ISNA(cel_Km1),"ongebruikt",  IF(COUNTIF(INDIRECT("K[-1]:K[-1]",FALSE),cel_Km1)&lt;2,"uniek","dubbel!")))</definedName>
    <definedName name="nr.status_INPUT_B" comment="formule die correcte nummeropgave rapporteert voor basiswaterpassingen (bovenaan in het rood)">IF(AND(ISNUMBER(INDIRECT("R[2]K",FALSE)),COUNTIF(INDIRECT("INPUT_B"&amp;TEXT(INDIRECT("R[1]K",FALSE),"0")&amp;"['fout?]"),"nr.-fout")&gt;0),"- ONVERWERKBARE NUMMERING -","")&amp; IF(AND(ISNUMBER(INDIRECT("R[2]K",FALSE)),COUNTIF(INDIRECT("INPUT_B"&amp;TEXT(INDIRECT("R[1]K",FALSE),"0")&amp;"['fout?]"),"dubbel!")&gt;0),"- DUBBELE NUMMERING -","")</definedName>
    <definedName name="nr.status_INPUT_C" comment="formule die correcte nummeropgave rapporteert voor controlewaterpassingen (bovenaan in het rood)">IF(INDIRECT("R[1]K[2]",FALSE)=TRUE(), IF(COUNTIF(INDIRECT("INPUT_C"&amp;TEXT(INDIRECT("R[1]K",FALSE),"00")&amp;"['fout?]"),"nr.-fout")&gt;0,"ONVERWERKBARE","")&amp;  IF((COUNTIF(INDIRECT("INPUT_C"&amp;TEXT(INDIRECT("R[1]K",FALSE),"00")&amp;"['fout?]"),"nr.-fout")&gt;0)* (COUNTIF(INDIRECT("INPUT_C"&amp;TEXT(INDIRECT("R[1]K",FALSE),"00")&amp;"['fout?]"),"dubbel!")&gt;0)," &amp; ","")&amp;  IF(COUNTIF(INDIRECT("INPUT_C"&amp;TEXT(INDIRECT("R[1]K",FALSE),"00")&amp;"['fout?]"),"dubbel!")&gt;0,"DUBBELE","")&amp;  IF((COUNTIF(INDIRECT("INPUT_C"&amp;TEXT(INDIRECT("R[1]K",FALSE),"00")&amp;"['fout?]"),"nr.-fout")&gt;0)+ (COUNTIF(INDIRECT("INPUT_C"&amp;TEXT(INDIRECT("R[1]K",FALSE),"00")&amp;"['fout?]"),"dubbel!")&gt;0)," NUMMERING",""),"")</definedName>
    <definedName name="nr.status_TABEL" comment="formule die correcte nummeropgave rapporteert voor controlewaterpassingen (bovenaan in het rood) en wordt geplaatst door macro's uit VBA-module 'M_tonen'">IF(COUNTIF(INDIRECT("K5:K5",FALSE),"nr.-fout")&gt;0,"ONVERWERKBARE","")&amp; IF((COUNTIF(INDIRECT("K5:K5",FALSE),"nr.-fout")&gt;0)*(COUNTIF(INDIRECT("K5:K5",FALSE),"dubbel!")&gt;0)," &amp; ","")&amp; IF(COUNTIF(INDIRECT("K5:K5",FALSE),"dubbel!")&gt;0,"DUBBELE","")&amp; IF((COUNTIF(INDIRECT("K5:K5",FALSE),"nr.-fout")&gt;0)+(COUNTIF(INDIRECT("K5:K5",FALSE),"dubbel!")&gt;0)," NUMMERING","")</definedName>
    <definedName name="recentste_Bn">#REF!</definedName>
    <definedName name="recentste_Cnn">#REF!</definedName>
    <definedName name="restrictie_periodiciteit" comment="naam kolom van een tabel (op een specifiek tabblad) die wordt gehanteerd bij de restrictie bij data-invoer">#REF!</definedName>
    <definedName name="restrictie_referentiepassing" comment="naam kolom van een tabel (op een specifiek tabblad) die wordt gehanteerd bij de restrictie bij data-invoer">#REF!</definedName>
    <definedName name="restrictie_verkenmerken" comment="naam kolom van een tabel (op een specifiek tabblad) die wordt gehanteerd bij de restrictie bij data-invoer">#REF!</definedName>
    <definedName name="restrictie_weertypen" comment="naam kolom van een tabel (op een specifiek tabblad) die wordt gehanteerd bij de restrictie bij data-invoer">#REF!</definedName>
    <definedName name="TABEL_Bn_0" comment="formule die aan de hand van het nummer van de basiswaterpassing die bovenaan in rij 18 verschijnt (de meest recente), het peilen weergeeft uit INPUT_B op basis van de zoekwaarde nr.nr. (kolom D)">IF(COUNTA(INDIRECT("INPUT_B"&amp;INDIRECT("R18K",FALSE)&amp;"[Z]"))=0,NA(),IF(VLOOKUP(INDIRECT("RK4",FALSE),INDIRECT("INPUT_B"&amp;RIGHT(INDIRECT("R18K",FALSE),1)),5,FALSE)="oud","oud",ROUND(VLOOKUP(INDIRECT("RK4",FALSE),INDIRECT("INPUT_B"&amp;RIGHT(INDIRECT("R18K",FALSE),1)),5,FALSE),3)))</definedName>
    <definedName name="TABEL_Bn_dZ" comment="formule die aan de hand van het nummer van de basiswaterpassing die bovenaan in rij 18 verschijnt (de meest recente), desgevallend deltaZ weergeeft uit INPUT_B op basis van de zoekwaarde nr.nr. (kolom D)">VLOOKUP(INDIRECT("RK4",FALSE),INDIRECT("INPUT_B"&amp;RIGHT(#REF!)),6,FALSE)</definedName>
    <definedName name="TABEL_Bn_verkenmerk" comment="formule die aan de hand van de meest actuele basiswaterpassingsgegevens het in INPUT_B opgegeven type verkenmerk weergeeft voor het nummer opgegeven in RK4 (RK3)">VLOOKUP(INDIRECT("RK4",FALSE),INDIRECT("INPUT_B"&amp;RIGHT(INDIRECT("R18K8",FALSE))),7,FALSE)</definedName>
    <definedName name="TABEL_Cnn_1" comment="formule om in TABEL de exacte Z-waarde te kunnen opdiepen uit INPUT_C">IF(OR(INDIRECT("RK4",FALSE)="",COUNTA(INDIRECT("INPUT_"&amp;TEXT(INDIRECT("R12K",FALSE),"C00")&amp;"[peil]"))&lt;1), NA(),ROUND(VLOOKUP(INDIRECT("RK4",FALSE),INDIRECT("INPUT_"&amp;TEXT(INDIRECT("R12K",FALSE),"C00")),3,FALSE)+0.00001,3))</definedName>
    <definedName name="TABEL_Cnn_2" comment="formule om in TABEL de exacte Z-waarde te bekomen uit INPUT_C en het verschil te maken met de meest recente BWP uit INPUT_B  -  indien de vorige controlemeting is gebaseerd op een andere BWP dan wordt de die verschilwaarde bijgeteld!">IF(OR(ISERROR(cel_Km1),RIGHT(INDIRECT("R18K",FALSE),1)="?"),NA(), 1000*(ROUND(cel_Km1,3)-ROUND(VLOOKUP(INDIRECT("RK4",FALSE),INDIRECT("INPUT_B"&amp;RIGHT(INDIRECT("R18K",FALSE),1)),5,FALSE)+0.00001,3)))+INDIRECT("RK6",FALSE)</definedName>
    <definedName name="TABEL_Cnn_H" comment="de correcte hoofding wordt samengesteld door eventueel de oude deltaZ &amp; Cnn &amp; Bn">IF(COUNTIF(#REF!,"&gt;0")+COUNTIF(#REF!,"&lt;0")&gt;0,"ΔZ+",)&amp; "C"&amp;TEXT(RIGHT(INDIRECT("R[-6]K[-1]",FALSE),2),"00")&amp;" - B"&amp; IF(HLOOKUP(INDIRECT("R[-6]K[-1]",FALSE),#REF!,11,FALSE)=0,"?", RIGHT(HLOOKUP(INDIRECT("R[-6]K[-1]",FALSE),#REF!,11,FALSE),1))</definedName>
    <definedName name="TABEL_Cnn_KL_1" comment="formule waarmee wordt nagegaan of een CWP als dan niet is afgevinkt in INPUT_C én gedateerd is - zo wordt het aantal zichtbare metingen bijgehouden i.f.v. de hoofdingen plaatsen">IF(AND(INDIRECT("INPUT_C!R3K"&amp;(1+4*RIGHT(INDIRECT("R12K",FALSE),2)),FALSE)=TRUE(), INDIRECT("R13K",FALSE)&lt;&gt;" "),TRUE(),FALSE())</definedName>
    <definedName name="TABEL_Cnn_KL_2" comment="formule die telt bij alle voorgaande metingen + deze meting zelf of ze weergegeven zijn">IF(INDIRECT("RK[-1]",FALSE)=TRUE(),COUNTIF(INDIRECT("RK9:RK[-1]",FALSE),TRUE()),999)</definedName>
    <definedName name="TABEL_Cnn_vigBWP" comment="formule die zorgt dat er enkel een ">IF(ISERROR(1*RIGHT(INDIRECT("R18K",FALSE),1)),"",1*RIGHT(INDIRECT("R18K",FALSE),1))</definedName>
    <definedName name="TABEL_dCUM">VLOOKUP(INDIRECT("RK4",FALSE),#REF!,2,FALSE)</definedName>
    <definedName name="TABEL_identificatienummer">#REF!</definedName>
    <definedName name="TABEL_varBWP" comment="formule die nagaat of de vigerende BWP niet hoger is dan de vorige; dit om de voorwaardelijke opmaak in te schakelen die onderlijnt">IF(INDIRECT("R20K",FALSE)&gt;MAX(INDIRECT("R20K9:R20K[-1]",FALSE)),"+","")</definedName>
    <definedName name="Triggers" comment="specifieke velden die zorgen dat na een wijziging in ID, met een event status_TABELUpdaten = True">#REF!</definedName>
    <definedName name="ttg">#REF!</definedName>
    <definedName name="x_ontwikkelaar" comment="wordt op verscheidene rekenbladen gebruikt als referentie (helaas niet geautomatiseerd op grafieken)">"ABO_2016_"</definedName>
    <definedName name="x_versienummer" comment="wordt op verscheidene rekenbladen gebruikt als referentie (helaas niet geautomatiseerd op grafieken)">"v8.9.3"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<sst xmlns="http://schemas.openxmlformats.org/spreadsheetml/2006/main" count="121" uniqueCount="38">
  <si>
    <t>nr.</t>
  </si>
  <si>
    <t>X</t>
  </si>
  <si>
    <t>Y</t>
  </si>
  <si>
    <t>Z</t>
  </si>
  <si>
    <t>type</t>
  </si>
  <si>
    <t>type III</t>
  </si>
  <si>
    <t>type X</t>
  </si>
  <si>
    <t>1203.5</t>
  </si>
  <si>
    <t>1204.5</t>
  </si>
  <si>
    <t>type I-O</t>
  </si>
  <si>
    <t>1302A</t>
  </si>
  <si>
    <t>2203.5</t>
  </si>
  <si>
    <t>2204.5</t>
  </si>
  <si>
    <t>2302A</t>
  </si>
  <si>
    <t>Element</t>
  </si>
  <si>
    <t>1101</t>
  </si>
  <si>
    <t>Abutment</t>
  </si>
  <si>
    <t>1102</t>
  </si>
  <si>
    <t>2101</t>
  </si>
  <si>
    <t>2102</t>
  </si>
  <si>
    <t>1301</t>
  </si>
  <si>
    <t>Pier</t>
  </si>
  <si>
    <t>2301</t>
  </si>
  <si>
    <t>1201</t>
  </si>
  <si>
    <t>Superstructure</t>
  </si>
  <si>
    <t>1202</t>
  </si>
  <si>
    <t>1203</t>
  </si>
  <si>
    <t>1204</t>
  </si>
  <si>
    <t>1205</t>
  </si>
  <si>
    <t>1206</t>
  </si>
  <si>
    <t>1207</t>
  </si>
  <si>
    <t>2201</t>
  </si>
  <si>
    <t>2202</t>
  </si>
  <si>
    <t>2203</t>
  </si>
  <si>
    <t>2204</t>
  </si>
  <si>
    <t>2205</t>
  </si>
  <si>
    <t>2206</t>
  </si>
  <si>
    <t>2207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</si>
</sst>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00"/>
    <numFmt numFmtId="165" formatCode="###\ ##0.000"/>
    <numFmt numFmtId="166" formatCode="&quot;C&quot;00"/>
    <numFmt numFmtId="178" formatCode="_ * #,##0.00_ ;_ * \-#,##0.00_ ;_ * &quot;-&quot;??_ ;_ @_ "/>
  </numFmts>
  <fonts count="8" x14ac:knownFonts="1">
    <font>
      <sz val="10"/>
      <name val="Arial"/>
    </font>
    <font>
      <u/>
      <sz val="10"/>
      <color theme="10"/>
      <name val="Arial"/>
      <family val="2"/>
    </font>
    <font>
      <sz val="10"/>
      <name val="Arial"/>
      <family val="2"/>
    </font>
    <font>
      <u/>
      <sz val="10"/>
      <color theme="11"/>
      <name val="Arial"/>
      <family val="2"/>
    </font>
    <font>
      <b/>
      <sz val="9"/>
      <color theme="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10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178" fontId="2" fillId="0" borderId="0"/>
    <xf numFmtId="0" fontId="3" fillId="0" borderId="0"/>
  </cellStyleXfs>
  <cellXfs count="20">
    <xf numFmtId="0" fontId="0" fillId="0" borderId="0" xfId="0"/>
    <xf numFmtId="1" fontId="4" fillId="2" borderId="2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/>
    </xf>
    <xf numFmtId="1" fontId="4" fillId="2" borderId="3" xfId="0" applyNumberFormat="1" applyFont="1" applyFill="1" applyBorder="1" applyAlignment="1">
      <alignment horizontal="center" vertical="center"/>
    </xf>
    <xf numFmtId="1" fontId="5" fillId="3" borderId="4" xfId="0" applyNumberFormat="1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1" fontId="6" fillId="3" borderId="5" xfId="0" applyNumberFormat="1" applyFont="1" applyFill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1" fontId="5" fillId="3" borderId="6" xfId="0" applyNumberFormat="1" applyFont="1" applyFill="1" applyBorder="1" applyAlignment="1">
      <alignment horizontal="center" vertical="center"/>
    </xf>
    <xf numFmtId="1" fontId="6" fillId="3" borderId="7" xfId="0" applyNumberFormat="1" applyFont="1" applyFill="1" applyBorder="1" applyAlignment="1">
      <alignment horizontal="center" vertical="center"/>
    </xf>
    <xf numFmtId="1" fontId="5" fillId="0" borderId="6" xfId="0" applyNumberFormat="1" applyFont="1" applyBorder="1" applyAlignment="1">
      <alignment horizontal="center" vertical="center"/>
    </xf>
    <xf numFmtId="1" fontId="6" fillId="0" borderId="7" xfId="0" applyNumberFormat="1" applyFont="1" applyBorder="1" applyAlignment="1">
      <alignment horizontal="center" vertical="center"/>
    </xf>
    <xf numFmtId="1" fontId="6" fillId="3" borderId="8" xfId="0" applyNumberFormat="1" applyFont="1" applyFill="1" applyBorder="1" applyAlignment="1">
      <alignment horizontal="center" vertical="center"/>
    </xf>
    <xf numFmtId="1" fontId="6" fillId="0" borderId="8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top"/>
    </xf>
  </cellXfs>
  <cellStyles count="5">
    <cellStyle name="Besuchter Hyperlink" xfId="4" builtinId="9" hidden="1"/>
    <cellStyle name="Komma" xfId="3" xr:uid="{00000000-0005-0000-0000-000003000000}"/>
    <cellStyle name="Link" xfId="2" builtinId="8" hidden="1"/>
    <cellStyle name="Standaard 2" xfId="1" xr:uid="{00000000-0005-0000-0000-000001000000}"/>
    <cellStyle name="Standard" xfId="0" builtinId="0"/>
  </cellStyles>
  <dxfs count="22">
    <dxf>
      <font>
        <b/>
        <color rgb="FFFF0000"/>
      </font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 patternType="solid">
          <fgColor theme="9" tint="0.79998168889431442"/>
          <bgColor theme="9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9"/>
        </top>
      </border>
    </dxf>
    <dxf>
      <font>
        <b/>
        <color theme="0"/>
      </font>
      <fill>
        <patternFill patternType="solid">
          <fgColor theme="9"/>
          <bgColor theme="9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horizontal style="thin">
          <color theme="9" tint="0.39994506668294322"/>
        </horizontal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ont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  <dxf>
      <font>
        <b/>
        <color theme="1"/>
      </font>
      <border>
        <top style="double">
          <color theme="1"/>
        </top>
      </border>
    </dxf>
    <dxf>
      <font>
        <b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horizontal style="thin">
          <color theme="1"/>
        </horizontal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horizontal style="thin">
          <color theme="4" tint="0.39997558519241921"/>
        </horizontal>
      </border>
    </dxf>
  </dxfs>
  <tableStyles count="3" defaultTableStyle="TableStyleMedium2" defaultPivotStyle="PivotStyleLight16">
    <tableStyle name="blauw_met rand" pivot="0" count="7" xr9:uid="{00000000-0011-0000-FFFF-FFFF00000000}">
      <tableStyleElement type="wholeTable" dxfId="21"/>
      <tableStyleElement type="headerRow" dxfId="20"/>
      <tableStyleElement type="totalRow" dxfId="19"/>
      <tableStyleElement type="firstColumn" dxfId="18"/>
      <tableStyleElement type="lastColumn" dxfId="17"/>
      <tableStyleElement type="firstRowStripe" dxfId="16"/>
      <tableStyleElement type="firstColumnStripe" dxfId="15"/>
    </tableStyle>
    <tableStyle name="donker" pivot="0" count="7" xr9:uid="{00000000-0011-0000-FFFF-FFFF01000000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  <tableStyle name="TableStyleMedium7 2" pivot="0" count="7" xr9:uid="{00000000-0011-0000-FFFF-FFFF02000000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7"/>
  <sheetViews>
    <sheetView workbookViewId="0">
      <selection activeCell="H28" sqref="H28"/>
    </sheetView>
  </sheetViews>
  <sheetFormatPr baseColWidth="10" defaultRowHeight="12.75" x14ac:dyDescent="0.2"/>
  <sheetData>
    <row r="1" spans="1:5" x14ac:dyDescent="0.2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 spans="1:5" x14ac:dyDescent="0.2">
      <c r="A2" s="5">
        <v>1101</v>
      </c>
      <c r="B2" s="6">
        <v>98781.055500000002</v>
      </c>
      <c r="C2" s="6">
        <v>198186.06770000001</v>
      </c>
      <c r="D2" s="7">
        <v>14.553800000000001</v>
      </c>
      <c r="E2" s="8" t="s">
        <v>5</v>
      </c>
    </row>
    <row r="3" spans="1:5" x14ac:dyDescent="0.2">
      <c r="A3" s="9">
        <v>1102</v>
      </c>
      <c r="B3" s="10">
        <v>98775.066399999996</v>
      </c>
      <c r="C3" s="10">
        <v>198317.5238</v>
      </c>
      <c r="D3" s="11">
        <v>14.3918</v>
      </c>
      <c r="E3" s="12" t="s">
        <v>5</v>
      </c>
    </row>
    <row r="4" spans="1:5" x14ac:dyDescent="0.2">
      <c r="A4" s="13">
        <v>1201</v>
      </c>
      <c r="B4" s="6">
        <v>98780.912200000006</v>
      </c>
      <c r="C4" s="6">
        <v>198187.48120000001</v>
      </c>
      <c r="D4" s="7">
        <v>15.17</v>
      </c>
      <c r="E4" s="14" t="s">
        <v>6</v>
      </c>
    </row>
    <row r="5" spans="1:5" x14ac:dyDescent="0.2">
      <c r="A5" s="15">
        <v>1202</v>
      </c>
      <c r="B5" s="10">
        <v>98780.3073</v>
      </c>
      <c r="C5" s="10">
        <v>198201.49280000001</v>
      </c>
      <c r="D5" s="11">
        <v>15.829000000000001</v>
      </c>
      <c r="E5" s="16" t="s">
        <v>6</v>
      </c>
    </row>
    <row r="6" spans="1:5" x14ac:dyDescent="0.2">
      <c r="A6" s="13">
        <v>1203</v>
      </c>
      <c r="B6" s="6">
        <v>98779.702399999995</v>
      </c>
      <c r="C6" s="6">
        <v>198215.50440000001</v>
      </c>
      <c r="D6" s="7">
        <v>16.3842</v>
      </c>
      <c r="E6" s="14" t="s">
        <v>6</v>
      </c>
    </row>
    <row r="7" spans="1:5" x14ac:dyDescent="0.2">
      <c r="A7" s="15" t="s">
        <v>7</v>
      </c>
      <c r="B7" s="10">
        <v>98778.911900000006</v>
      </c>
      <c r="C7" s="10">
        <v>198232.93659999999</v>
      </c>
      <c r="D7" s="11">
        <v>16.854199999999999</v>
      </c>
      <c r="E7" s="16" t="s">
        <v>6</v>
      </c>
    </row>
    <row r="8" spans="1:5" x14ac:dyDescent="0.2">
      <c r="A8" s="13">
        <v>1204</v>
      </c>
      <c r="B8" s="6">
        <v>98778.121400000004</v>
      </c>
      <c r="C8" s="6">
        <v>198250.36869999999</v>
      </c>
      <c r="D8" s="7">
        <v>17.0245</v>
      </c>
      <c r="E8" s="14" t="s">
        <v>6</v>
      </c>
    </row>
    <row r="9" spans="1:5" x14ac:dyDescent="0.2">
      <c r="A9" s="15" t="s">
        <v>8</v>
      </c>
      <c r="B9" s="10">
        <v>98777.330900000001</v>
      </c>
      <c r="C9" s="10">
        <v>198267.8009</v>
      </c>
      <c r="D9" s="11">
        <v>16.853100000000001</v>
      </c>
      <c r="E9" s="16" t="s">
        <v>6</v>
      </c>
    </row>
    <row r="10" spans="1:5" x14ac:dyDescent="0.2">
      <c r="A10" s="13">
        <v>1205</v>
      </c>
      <c r="B10" s="6">
        <v>98776.540500000003</v>
      </c>
      <c r="C10" s="6">
        <v>198285.23310000001</v>
      </c>
      <c r="D10" s="7">
        <v>16.387899999999998</v>
      </c>
      <c r="E10" s="14" t="s">
        <v>6</v>
      </c>
    </row>
    <row r="11" spans="1:5" x14ac:dyDescent="0.2">
      <c r="A11" s="15">
        <v>1206</v>
      </c>
      <c r="B11" s="10">
        <v>98775.842499999999</v>
      </c>
      <c r="C11" s="10">
        <v>198300.6882</v>
      </c>
      <c r="D11" s="11">
        <v>15.7439</v>
      </c>
      <c r="E11" s="16" t="s">
        <v>6</v>
      </c>
    </row>
    <row r="12" spans="1:5" x14ac:dyDescent="0.2">
      <c r="A12" s="13">
        <v>1207</v>
      </c>
      <c r="B12" s="6">
        <v>98775.1446</v>
      </c>
      <c r="C12" s="6">
        <v>198316.1434</v>
      </c>
      <c r="D12" s="7">
        <v>15.1492</v>
      </c>
      <c r="E12" s="14" t="s">
        <v>6</v>
      </c>
    </row>
    <row r="13" spans="1:5" x14ac:dyDescent="0.2">
      <c r="A13" s="15">
        <v>1301</v>
      </c>
      <c r="B13" s="10">
        <v>98778.703500000003</v>
      </c>
      <c r="C13" s="10">
        <v>198215.45689999999</v>
      </c>
      <c r="D13" s="11">
        <v>7.92</v>
      </c>
      <c r="E13" s="16" t="s">
        <v>9</v>
      </c>
    </row>
    <row r="14" spans="1:5" x14ac:dyDescent="0.2">
      <c r="A14" s="13" t="s">
        <v>10</v>
      </c>
      <c r="B14" s="6">
        <v>98775.541599999997</v>
      </c>
      <c r="C14" s="6">
        <v>198285.1856</v>
      </c>
      <c r="D14" s="7">
        <v>7.7525000000000004</v>
      </c>
      <c r="E14" s="14" t="s">
        <v>9</v>
      </c>
    </row>
    <row r="15" spans="1:5" x14ac:dyDescent="0.2">
      <c r="A15" s="15">
        <v>2101</v>
      </c>
      <c r="B15" s="10">
        <v>98761.989000000001</v>
      </c>
      <c r="C15" s="10">
        <v>198185.16140000001</v>
      </c>
      <c r="D15" s="11">
        <v>14.488899999999999</v>
      </c>
      <c r="E15" s="16" t="s">
        <v>5</v>
      </c>
    </row>
    <row r="16" spans="1:5" x14ac:dyDescent="0.2">
      <c r="A16" s="13">
        <v>2102</v>
      </c>
      <c r="B16" s="6">
        <v>98755.999899999995</v>
      </c>
      <c r="C16" s="6">
        <v>198316.61749999999</v>
      </c>
      <c r="D16" s="7">
        <v>14.445399999999999</v>
      </c>
      <c r="E16" s="14" t="s">
        <v>5</v>
      </c>
    </row>
    <row r="17" spans="1:5" x14ac:dyDescent="0.2">
      <c r="A17" s="15">
        <v>2201</v>
      </c>
      <c r="B17" s="10">
        <v>98761.845700000005</v>
      </c>
      <c r="C17" s="10">
        <v>198186.57500000001</v>
      </c>
      <c r="D17" s="11">
        <v>15.1774</v>
      </c>
      <c r="E17" s="16" t="s">
        <v>6</v>
      </c>
    </row>
    <row r="18" spans="1:5" x14ac:dyDescent="0.2">
      <c r="A18" s="13">
        <v>2202</v>
      </c>
      <c r="B18" s="6">
        <v>98761.2408</v>
      </c>
      <c r="C18" s="6">
        <v>198200.58660000001</v>
      </c>
      <c r="D18" s="7">
        <v>15.827199999999999</v>
      </c>
      <c r="E18" s="14" t="s">
        <v>6</v>
      </c>
    </row>
    <row r="19" spans="1:5" x14ac:dyDescent="0.2">
      <c r="A19" s="15">
        <v>2203</v>
      </c>
      <c r="B19" s="10">
        <v>98760.635899999994</v>
      </c>
      <c r="C19" s="10">
        <v>198214.59820000001</v>
      </c>
      <c r="D19" s="11">
        <v>16.392199999999999</v>
      </c>
      <c r="E19" s="16" t="s">
        <v>6</v>
      </c>
    </row>
    <row r="20" spans="1:5" x14ac:dyDescent="0.2">
      <c r="A20" s="13" t="s">
        <v>11</v>
      </c>
      <c r="B20" s="6">
        <v>98759.845400000006</v>
      </c>
      <c r="C20" s="6">
        <v>198232.03030000001</v>
      </c>
      <c r="D20" s="7">
        <v>16.865400000000001</v>
      </c>
      <c r="E20" s="14" t="s">
        <v>6</v>
      </c>
    </row>
    <row r="21" spans="1:5" x14ac:dyDescent="0.2">
      <c r="A21" s="15">
        <v>2204</v>
      </c>
      <c r="B21" s="10">
        <v>98759.054900000003</v>
      </c>
      <c r="C21" s="10">
        <v>198249.46249999999</v>
      </c>
      <c r="D21" s="11">
        <v>17.032599999999999</v>
      </c>
      <c r="E21" s="16" t="s">
        <v>6</v>
      </c>
    </row>
    <row r="22" spans="1:5" x14ac:dyDescent="0.2">
      <c r="A22" s="13" t="s">
        <v>12</v>
      </c>
      <c r="B22" s="6">
        <v>98758.2644</v>
      </c>
      <c r="C22" s="6">
        <v>198266.8946</v>
      </c>
      <c r="D22" s="7">
        <v>16.864100000000001</v>
      </c>
      <c r="E22" s="14" t="s">
        <v>6</v>
      </c>
    </row>
    <row r="23" spans="1:5" x14ac:dyDescent="0.2">
      <c r="A23" s="15">
        <v>2205</v>
      </c>
      <c r="B23" s="10">
        <v>98757.473899999997</v>
      </c>
      <c r="C23" s="10">
        <v>198284.32680000001</v>
      </c>
      <c r="D23" s="11">
        <v>16.4023</v>
      </c>
      <c r="E23" s="16" t="s">
        <v>6</v>
      </c>
    </row>
    <row r="24" spans="1:5" x14ac:dyDescent="0.2">
      <c r="A24" s="13">
        <v>2206</v>
      </c>
      <c r="B24" s="6">
        <v>98756.775999999998</v>
      </c>
      <c r="C24" s="6">
        <v>198299.78200000001</v>
      </c>
      <c r="D24" s="7">
        <v>15.759600000000001</v>
      </c>
      <c r="E24" s="17" t="s">
        <v>6</v>
      </c>
    </row>
    <row r="25" spans="1:5" x14ac:dyDescent="0.2">
      <c r="A25" s="15">
        <v>2207</v>
      </c>
      <c r="B25" s="10">
        <v>98756.077999999994</v>
      </c>
      <c r="C25" s="10">
        <v>198315.2372</v>
      </c>
      <c r="D25" s="11">
        <v>15.149800000000001</v>
      </c>
      <c r="E25" s="18" t="s">
        <v>6</v>
      </c>
    </row>
    <row r="26" spans="1:5" x14ac:dyDescent="0.2">
      <c r="A26" s="13">
        <v>2301</v>
      </c>
      <c r="B26" s="6">
        <v>98761.634699999995</v>
      </c>
      <c r="C26" s="6">
        <v>198214.64559999999</v>
      </c>
      <c r="D26" s="7">
        <v>7.6792999999999996</v>
      </c>
      <c r="E26" s="17" t="s">
        <v>9</v>
      </c>
    </row>
    <row r="27" spans="1:5" x14ac:dyDescent="0.2">
      <c r="A27" s="15" t="s">
        <v>13</v>
      </c>
      <c r="B27" s="10">
        <v>98758.472800000003</v>
      </c>
      <c r="C27" s="10">
        <v>198284.3743</v>
      </c>
      <c r="D27" s="11">
        <v>7.7728000000000002</v>
      </c>
      <c r="E27" s="18" t="s">
        <v>9</v>
      </c>
    </row>
  </sheetData>
  <conditionalFormatting sqref="A1:E27">
    <cfRule type="expression" dxfId="0" priority="1">
      <formula>(cel_Kp6="nr.-fout")+(cel_Kp6="DUBBEL!")</formula>
    </cfRule>
  </conditionalFormatting>
  <dataValidations count="1">
    <dataValidation type="list" showInputMessage="1" showErrorMessage="1" sqref="E2:E27" xr:uid="{00000000-0002-0000-0200-000000000000}">
      <formula1>restrictie_verkenmerken</formula1>
    </dataValidation>
  </dataValidation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7"/>
  <sheetViews>
    <sheetView tabSelected="1" workbookViewId="0">
      <selection activeCell="M21" sqref="M21"/>
    </sheetView>
  </sheetViews>
  <sheetFormatPr baseColWidth="10" defaultColWidth="9.140625" defaultRowHeight="12.75" x14ac:dyDescent="0.2"/>
  <sheetData>
    <row r="1" spans="1:6" x14ac:dyDescent="0.2">
      <c r="A1" s="19" t="s">
        <v>0</v>
      </c>
      <c r="B1" s="19" t="s">
        <v>14</v>
      </c>
      <c r="C1" s="19" t="s">
        <v>1</v>
      </c>
      <c r="D1" s="19" t="s">
        <v>2</v>
      </c>
      <c r="E1" s="19" t="s">
        <v>3</v>
      </c>
      <c r="F1" s="19" t="s">
        <v>4</v>
      </c>
    </row>
    <row r="2" spans="1:6" x14ac:dyDescent="0.2">
      <c r="A2" t="s">
        <v>15</v>
      </c>
      <c r="B2" t="s">
        <v>16</v>
      </c>
      <c r="C2">
        <v>98781.055500000002</v>
      </c>
      <c r="D2">
        <v>198186.06770000001</v>
      </c>
      <c r="E2">
        <v>14.553800000000001</v>
      </c>
      <c r="F2" t="s">
        <v>5</v>
      </c>
    </row>
    <row r="3" spans="1:6" x14ac:dyDescent="0.2">
      <c r="A3" t="s">
        <v>17</v>
      </c>
      <c r="B3" t="s">
        <v>16</v>
      </c>
      <c r="C3">
        <v>98775.066399999996</v>
      </c>
      <c r="D3">
        <v>198317.5238</v>
      </c>
      <c r="E3">
        <v>14.3918</v>
      </c>
      <c r="F3" t="s">
        <v>5</v>
      </c>
    </row>
    <row r="4" spans="1:6" x14ac:dyDescent="0.2">
      <c r="A4" t="s">
        <v>18</v>
      </c>
      <c r="B4" t="s">
        <v>16</v>
      </c>
      <c r="C4">
        <v>98761.989000000001</v>
      </c>
      <c r="D4">
        <v>198185.16140000001</v>
      </c>
      <c r="E4">
        <v>14.488899999999999</v>
      </c>
      <c r="F4" t="s">
        <v>5</v>
      </c>
    </row>
    <row r="5" spans="1:6" x14ac:dyDescent="0.2">
      <c r="A5" t="s">
        <v>19</v>
      </c>
      <c r="B5" t="s">
        <v>16</v>
      </c>
      <c r="C5">
        <v>98755.999899999995</v>
      </c>
      <c r="D5">
        <v>198316.61749999999</v>
      </c>
      <c r="E5">
        <v>14.445399999999999</v>
      </c>
      <c r="F5" t="s">
        <v>5</v>
      </c>
    </row>
    <row r="6" spans="1:6" x14ac:dyDescent="0.2">
      <c r="A6" t="s">
        <v>20</v>
      </c>
      <c r="B6" t="s">
        <v>21</v>
      </c>
      <c r="C6">
        <v>98778.703500000003</v>
      </c>
      <c r="D6">
        <v>198215.45689999999</v>
      </c>
      <c r="E6">
        <v>7.92</v>
      </c>
      <c r="F6" t="s">
        <v>9</v>
      </c>
    </row>
    <row r="7" spans="1:6" x14ac:dyDescent="0.2">
      <c r="A7" t="s">
        <v>10</v>
      </c>
      <c r="B7" t="s">
        <v>21</v>
      </c>
      <c r="C7">
        <v>98775.541599999997</v>
      </c>
      <c r="D7">
        <v>198285.1856</v>
      </c>
      <c r="E7">
        <v>7.7525000000000004</v>
      </c>
      <c r="F7" t="s">
        <v>9</v>
      </c>
    </row>
    <row r="8" spans="1:6" x14ac:dyDescent="0.2">
      <c r="A8" t="s">
        <v>22</v>
      </c>
      <c r="B8" t="s">
        <v>21</v>
      </c>
      <c r="C8">
        <v>98761.634699999995</v>
      </c>
      <c r="D8">
        <v>198214.64559999999</v>
      </c>
      <c r="E8">
        <v>7.6792999999999996</v>
      </c>
      <c r="F8" t="s">
        <v>9</v>
      </c>
    </row>
    <row r="9" spans="1:6" x14ac:dyDescent="0.2">
      <c r="A9" t="s">
        <v>13</v>
      </c>
      <c r="B9" t="s">
        <v>21</v>
      </c>
      <c r="C9">
        <v>98758.472800000003</v>
      </c>
      <c r="D9">
        <v>198284.3743</v>
      </c>
      <c r="E9">
        <v>7.7728000000000002</v>
      </c>
      <c r="F9" t="s">
        <v>9</v>
      </c>
    </row>
    <row r="10" spans="1:6" x14ac:dyDescent="0.2">
      <c r="A10" t="s">
        <v>23</v>
      </c>
      <c r="B10" t="s">
        <v>24</v>
      </c>
      <c r="C10">
        <v>98780.912200000006</v>
      </c>
      <c r="D10">
        <v>198187.48120000001</v>
      </c>
      <c r="E10">
        <v>15.17</v>
      </c>
      <c r="F10" t="s">
        <v>6</v>
      </c>
    </row>
    <row r="11" spans="1:6" x14ac:dyDescent="0.2">
      <c r="A11" t="s">
        <v>25</v>
      </c>
      <c r="B11" t="s">
        <v>24</v>
      </c>
      <c r="C11">
        <v>98780.3073</v>
      </c>
      <c r="D11">
        <v>198201.49280000001</v>
      </c>
      <c r="E11">
        <v>15.829000000000001</v>
      </c>
      <c r="F11" t="s">
        <v>6</v>
      </c>
    </row>
    <row r="12" spans="1:6" x14ac:dyDescent="0.2">
      <c r="A12" t="s">
        <v>26</v>
      </c>
      <c r="B12" t="s">
        <v>24</v>
      </c>
      <c r="C12">
        <v>98779.702399999995</v>
      </c>
      <c r="D12">
        <v>198215.50440000001</v>
      </c>
      <c r="E12">
        <v>16.3842</v>
      </c>
      <c r="F12" t="s">
        <v>6</v>
      </c>
    </row>
    <row r="13" spans="1:6" x14ac:dyDescent="0.2">
      <c r="A13" t="s">
        <v>7</v>
      </c>
      <c r="B13" t="s">
        <v>24</v>
      </c>
      <c r="C13">
        <v>98778.911900000006</v>
      </c>
      <c r="D13">
        <v>198232.93659999999</v>
      </c>
      <c r="E13">
        <v>16.854199999999999</v>
      </c>
      <c r="F13" t="s">
        <v>6</v>
      </c>
    </row>
    <row r="14" spans="1:6" x14ac:dyDescent="0.2">
      <c r="A14" t="s">
        <v>27</v>
      </c>
      <c r="B14" t="s">
        <v>24</v>
      </c>
      <c r="C14">
        <v>98778.121400000004</v>
      </c>
      <c r="D14">
        <v>198250.36869999999</v>
      </c>
      <c r="E14">
        <v>17.0245</v>
      </c>
      <c r="F14" t="s">
        <v>6</v>
      </c>
    </row>
    <row r="15" spans="1:6" x14ac:dyDescent="0.2">
      <c r="A15" t="s">
        <v>8</v>
      </c>
      <c r="B15" t="s">
        <v>24</v>
      </c>
      <c r="C15">
        <v>98777.330900000001</v>
      </c>
      <c r="D15">
        <v>198267.8009</v>
      </c>
      <c r="E15">
        <v>16.853100000000001</v>
      </c>
      <c r="F15" t="s">
        <v>6</v>
      </c>
    </row>
    <row r="16" spans="1:6" x14ac:dyDescent="0.2">
      <c r="A16" t="s">
        <v>28</v>
      </c>
      <c r="B16" t="s">
        <v>24</v>
      </c>
      <c r="C16">
        <v>98776.540500000003</v>
      </c>
      <c r="D16">
        <v>198285.23310000001</v>
      </c>
      <c r="E16">
        <v>16.387899999999998</v>
      </c>
      <c r="F16" t="s">
        <v>6</v>
      </c>
    </row>
    <row r="17" spans="1:6" x14ac:dyDescent="0.2">
      <c r="A17" t="s">
        <v>29</v>
      </c>
      <c r="B17" t="s">
        <v>24</v>
      </c>
      <c r="C17">
        <v>98775.842499999999</v>
      </c>
      <c r="D17">
        <v>198300.6882</v>
      </c>
      <c r="E17">
        <v>15.7439</v>
      </c>
      <c r="F17" t="s">
        <v>6</v>
      </c>
    </row>
    <row r="18" spans="1:6" x14ac:dyDescent="0.2">
      <c r="A18" t="s">
        <v>30</v>
      </c>
      <c r="B18" t="s">
        <v>24</v>
      </c>
      <c r="C18">
        <v>98775.1446</v>
      </c>
      <c r="D18">
        <v>198316.1434</v>
      </c>
      <c r="E18">
        <v>15.1492</v>
      </c>
      <c r="F18" t="s">
        <v>6</v>
      </c>
    </row>
    <row r="19" spans="1:6" x14ac:dyDescent="0.2">
      <c r="A19" t="s">
        <v>31</v>
      </c>
      <c r="B19" t="s">
        <v>24</v>
      </c>
      <c r="C19">
        <v>98761.845700000005</v>
      </c>
      <c r="D19">
        <v>198186.57500000001</v>
      </c>
      <c r="E19">
        <v>15.1774</v>
      </c>
      <c r="F19" t="s">
        <v>6</v>
      </c>
    </row>
    <row r="20" spans="1:6" x14ac:dyDescent="0.2">
      <c r="A20" t="s">
        <v>32</v>
      </c>
      <c r="B20" t="s">
        <v>24</v>
      </c>
      <c r="C20">
        <v>98761.2408</v>
      </c>
      <c r="D20">
        <v>198200.58660000001</v>
      </c>
      <c r="E20">
        <v>15.827199999999999</v>
      </c>
      <c r="F20" t="s">
        <v>6</v>
      </c>
    </row>
    <row r="21" spans="1:6" x14ac:dyDescent="0.2">
      <c r="A21" t="s">
        <v>33</v>
      </c>
      <c r="B21" t="s">
        <v>24</v>
      </c>
      <c r="C21">
        <v>98760.635899999994</v>
      </c>
      <c r="D21">
        <v>198214.59820000001</v>
      </c>
      <c r="E21">
        <v>16.392199999999999</v>
      </c>
      <c r="F21" t="s">
        <v>6</v>
      </c>
    </row>
    <row r="22" spans="1:6" x14ac:dyDescent="0.2">
      <c r="A22" t="s">
        <v>11</v>
      </c>
      <c r="B22" t="s">
        <v>24</v>
      </c>
      <c r="C22">
        <v>98759.845400000006</v>
      </c>
      <c r="D22">
        <v>198232.03030000001</v>
      </c>
      <c r="E22">
        <v>16.865400000000001</v>
      </c>
      <c r="F22" t="s">
        <v>6</v>
      </c>
    </row>
    <row r="23" spans="1:6" x14ac:dyDescent="0.2">
      <c r="A23" t="s">
        <v>34</v>
      </c>
      <c r="B23" t="s">
        <v>24</v>
      </c>
      <c r="C23">
        <v>98759.054900000003</v>
      </c>
      <c r="D23">
        <v>198249.46249999999</v>
      </c>
      <c r="E23">
        <v>17.032599999999999</v>
      </c>
      <c r="F23" t="s">
        <v>6</v>
      </c>
    </row>
    <row r="24" spans="1:6" x14ac:dyDescent="0.2">
      <c r="A24" t="s">
        <v>12</v>
      </c>
      <c r="B24" t="s">
        <v>24</v>
      </c>
      <c r="C24">
        <v>98758.2644</v>
      </c>
      <c r="D24">
        <v>198266.8946</v>
      </c>
      <c r="E24">
        <v>16.864100000000001</v>
      </c>
      <c r="F24" t="s">
        <v>6</v>
      </c>
    </row>
    <row r="25" spans="1:6" x14ac:dyDescent="0.2">
      <c r="A25" t="s">
        <v>35</v>
      </c>
      <c r="B25" t="s">
        <v>24</v>
      </c>
      <c r="C25">
        <v>98757.473899999997</v>
      </c>
      <c r="D25">
        <v>198284.32680000001</v>
      </c>
      <c r="E25">
        <v>16.4023</v>
      </c>
      <c r="F25" t="s">
        <v>6</v>
      </c>
    </row>
    <row r="26" spans="1:6" x14ac:dyDescent="0.2">
      <c r="A26" t="s">
        <v>36</v>
      </c>
      <c r="B26" t="s">
        <v>24</v>
      </c>
      <c r="C26">
        <v>98756.775999999998</v>
      </c>
      <c r="D26">
        <v>198299.78200000001</v>
      </c>
      <c r="E26">
        <v>15.759600000000001</v>
      </c>
      <c r="F26" t="s">
        <v>6</v>
      </c>
    </row>
    <row r="27" spans="1:6" x14ac:dyDescent="0.2">
      <c r="A27" t="s">
        <v>37</v>
      </c>
      <c r="B27" t="s">
        <v>24</v>
      </c>
      <c r="C27">
        <v>98756.077999999994</v>
      </c>
      <c r="D27">
        <v>198315.2372</v>
      </c>
      <c r="E27">
        <v>15.149800000000001</v>
      </c>
      <c r="F27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00_Input</vt:lpstr>
      <vt:lpstr>01_SortedGCPs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WPD</dc:title>
  <dc:subject>waterpassingsdossier (WPD)</dc:subject>
  <dc:creator>Arn Bormans</dc:creator>
  <cp:keywords>ABO_2016_v8.9.3</cp:keywords>
  <dc:description>Opmerkingen zijn welkom!</dc:description>
  <cp:lastModifiedBy>Erkki Tobias Bartczak</cp:lastModifiedBy>
  <cp:lastPrinted>2019-03-06T10:46:13Z</cp:lastPrinted>
  <dcterms:created xsi:type="dcterms:W3CDTF">2003-03-12T14:02:27Z</dcterms:created>
  <dcterms:modified xsi:type="dcterms:W3CDTF">2025-04-04T09:56:08Z</dcterms:modified>
  <cp:category>waterpassingen</cp:category>
  <cp:contentStatus>release feb. 2016</cp:contentStatus>
  <dc:language>Nederlands</dc:language>
  <cp:version>v8.3</cp:version>
</cp:coreProperties>
</file>